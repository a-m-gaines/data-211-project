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ma\Documents\DATA 211\"/>
    </mc:Choice>
  </mc:AlternateContent>
  <xr:revisionPtr revIDLastSave="0" documentId="8_{37A3B18E-CDBE-4744-A973-691444BB06E6}" xr6:coauthVersionLast="47" xr6:coauthVersionMax="47" xr10:uidLastSave="{00000000-0000-0000-0000-000000000000}"/>
  <bookViews>
    <workbookView xWindow="-108" yWindow="-108" windowWidth="23256" windowHeight="13176" xr2:uid="{BA84783D-BE7A-45EC-B008-7B05ECA0E01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3" i="1"/>
  <c r="J2" i="1"/>
</calcChain>
</file>

<file path=xl/sharedStrings.xml><?xml version="1.0" encoding="utf-8"?>
<sst xmlns="http://schemas.openxmlformats.org/spreadsheetml/2006/main" count="50" uniqueCount="17">
  <si>
    <t>Observation</t>
  </si>
  <si>
    <t>DayOfWeek</t>
  </si>
  <si>
    <t>Outside</t>
  </si>
  <si>
    <t>Mood</t>
  </si>
  <si>
    <t>Wednesday</t>
  </si>
  <si>
    <t>Thursday</t>
  </si>
  <si>
    <t>Friday</t>
  </si>
  <si>
    <t>Saturday</t>
  </si>
  <si>
    <t>Sunday</t>
  </si>
  <si>
    <t>Monday</t>
  </si>
  <si>
    <t>Tuesday</t>
  </si>
  <si>
    <t>Yes</t>
  </si>
  <si>
    <t>No</t>
  </si>
  <si>
    <t>Mean</t>
  </si>
  <si>
    <t>Stdev</t>
  </si>
  <si>
    <t>Outside mean</t>
  </si>
  <si>
    <t>Inside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</si>
</sst>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ACCB3-B0EC-4FD8-8D29-6FE90BDA9B58}" name="Table1" displayName="Table1" ref="A1:D22" totalsRowShown="0" headerRowDxfId="1">
  <autoFilter ref="A1:D22" xr:uid="{AA9ACCB3-B0EC-4FD8-8D29-6FE90BDA9B58}"/>
  <sortState xmlns:xlrd2="http://schemas.microsoft.com/office/spreadsheetml/2017/richdata2" ref="A2:D22">
    <sortCondition ref="A1:A22"/>
  </sortState>
  <tableColumns count="4">
    <tableColumn id="1" xr3:uid="{6DBE53F7-B1F8-4D07-B68E-08F5C0ACCED9}" name="Observation" dataDxfId="0"/>
    <tableColumn id="2" xr3:uid="{BC6AAE23-1A22-4A7D-9E39-82328D0EA220}" name="DayOfWeek"/>
    <tableColumn id="3" xr3:uid="{B5E9AEFA-A98A-4229-BE22-DEAA16DE971D}" name="Outside"/>
    <tableColumn id="4" xr3:uid="{F5AFE018-14D4-4B98-B0F9-308740B109DA}" name="Moo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AF50-E11E-460D-9A10-BFEC6909D08C}">
  <dimension ref="A1:J23"/>
  <sheetViews>
    <sheetView tabSelected="1" zoomScale="115" zoomScaleNormal="115" workbookViewId="0">
      <pane ySplit="1" topLeftCell="A5" activePane="bottomLeft" state="frozen"/>
      <selection pane="bottomLeft" activeCell="F21" sqref="F21"/>
    </sheetView>
  </sheetViews>
  <sheetFormatPr defaultRowHeight="14.4" x14ac:dyDescent="0.3"/>
  <cols>
    <col min="1" max="1" width="12.5546875" customWidth="1"/>
    <col min="2" max="2" width="15.6640625" customWidth="1"/>
    <col min="4" max="4" width="10" customWidth="1"/>
    <col min="5" max="5" width="8.88671875" customWidth="1"/>
    <col min="6" max="6" width="1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</row>
    <row r="2" spans="1:10" x14ac:dyDescent="0.3">
      <c r="A2" s="1">
        <v>1</v>
      </c>
      <c r="B2" t="s">
        <v>4</v>
      </c>
      <c r="C2" t="s">
        <v>11</v>
      </c>
      <c r="D2" s="1">
        <v>1</v>
      </c>
      <c r="I2" t="s">
        <v>13</v>
      </c>
      <c r="J2">
        <f>AVERAGE(D2:D22)</f>
        <v>2.9523809523809526</v>
      </c>
    </row>
    <row r="3" spans="1:10" x14ac:dyDescent="0.3">
      <c r="A3" s="1">
        <v>2</v>
      </c>
      <c r="B3" t="s">
        <v>5</v>
      </c>
      <c r="C3" t="s">
        <v>12</v>
      </c>
      <c r="D3" s="1">
        <v>2</v>
      </c>
      <c r="I3" t="s">
        <v>14</v>
      </c>
      <c r="J3">
        <f>STDEV(D2:D22)</f>
        <v>0.8646496675642964</v>
      </c>
    </row>
    <row r="4" spans="1:10" x14ac:dyDescent="0.3">
      <c r="A4" s="1">
        <v>3</v>
      </c>
      <c r="B4" t="s">
        <v>6</v>
      </c>
      <c r="C4" t="s">
        <v>11</v>
      </c>
      <c r="D4" s="1">
        <v>3</v>
      </c>
    </row>
    <row r="5" spans="1:10" x14ac:dyDescent="0.3">
      <c r="A5" s="1">
        <v>4</v>
      </c>
      <c r="B5" t="s">
        <v>7</v>
      </c>
      <c r="C5" t="s">
        <v>11</v>
      </c>
      <c r="D5" s="1">
        <v>3</v>
      </c>
      <c r="I5" t="s">
        <v>15</v>
      </c>
      <c r="J5">
        <f>AVERAGEIF(C2:C22,"Yes",D2:D22)</f>
        <v>3.0909090909090908</v>
      </c>
    </row>
    <row r="6" spans="1:10" x14ac:dyDescent="0.3">
      <c r="A6" s="1">
        <v>5</v>
      </c>
      <c r="B6" t="s">
        <v>8</v>
      </c>
      <c r="C6" t="s">
        <v>12</v>
      </c>
      <c r="D6" s="1">
        <v>3</v>
      </c>
      <c r="I6" t="s">
        <v>16</v>
      </c>
      <c r="J6">
        <f>AVERAGEIF(Table1[Outside],"No",Table1[Mood])</f>
        <v>2.8</v>
      </c>
    </row>
    <row r="7" spans="1:10" x14ac:dyDescent="0.3">
      <c r="A7" s="1">
        <v>6</v>
      </c>
      <c r="B7" t="s">
        <v>9</v>
      </c>
      <c r="C7" t="s">
        <v>11</v>
      </c>
      <c r="D7" s="1">
        <v>3</v>
      </c>
    </row>
    <row r="8" spans="1:10" x14ac:dyDescent="0.3">
      <c r="A8" s="1">
        <v>7</v>
      </c>
      <c r="B8" t="s">
        <v>10</v>
      </c>
      <c r="C8" t="s">
        <v>11</v>
      </c>
      <c r="D8" s="1">
        <v>4</v>
      </c>
    </row>
    <row r="9" spans="1:10" x14ac:dyDescent="0.3">
      <c r="A9" s="1">
        <v>8</v>
      </c>
      <c r="B9" t="s">
        <v>4</v>
      </c>
      <c r="C9" t="s">
        <v>11</v>
      </c>
      <c r="D9" s="1">
        <v>4</v>
      </c>
    </row>
    <row r="10" spans="1:10" x14ac:dyDescent="0.3">
      <c r="A10" s="1">
        <v>9</v>
      </c>
      <c r="B10" t="s">
        <v>5</v>
      </c>
      <c r="C10" t="s">
        <v>12</v>
      </c>
      <c r="D10" s="1">
        <v>3</v>
      </c>
    </row>
    <row r="11" spans="1:10" x14ac:dyDescent="0.3">
      <c r="A11" s="1">
        <v>10</v>
      </c>
      <c r="B11" t="s">
        <v>6</v>
      </c>
      <c r="C11" t="s">
        <v>11</v>
      </c>
      <c r="D11" s="1">
        <v>4</v>
      </c>
    </row>
    <row r="12" spans="1:10" x14ac:dyDescent="0.3">
      <c r="A12" s="1">
        <v>11</v>
      </c>
      <c r="B12" t="s">
        <v>7</v>
      </c>
      <c r="C12" t="s">
        <v>12</v>
      </c>
      <c r="D12" s="1">
        <v>4</v>
      </c>
    </row>
    <row r="13" spans="1:10" x14ac:dyDescent="0.3">
      <c r="A13" s="1">
        <v>12</v>
      </c>
      <c r="B13" t="s">
        <v>8</v>
      </c>
      <c r="C13" t="s">
        <v>11</v>
      </c>
      <c r="D13" s="1">
        <v>3</v>
      </c>
    </row>
    <row r="14" spans="1:10" x14ac:dyDescent="0.3">
      <c r="A14" s="1">
        <v>13</v>
      </c>
      <c r="B14" t="s">
        <v>9</v>
      </c>
      <c r="C14" t="s">
        <v>12</v>
      </c>
      <c r="D14" s="1">
        <v>3</v>
      </c>
    </row>
    <row r="15" spans="1:10" x14ac:dyDescent="0.3">
      <c r="A15" s="1">
        <v>14</v>
      </c>
      <c r="B15" t="s">
        <v>10</v>
      </c>
      <c r="C15" t="s">
        <v>12</v>
      </c>
      <c r="D15" s="1">
        <v>2</v>
      </c>
    </row>
    <row r="16" spans="1:10" x14ac:dyDescent="0.3">
      <c r="A16" s="1">
        <v>15</v>
      </c>
      <c r="B16" t="s">
        <v>4</v>
      </c>
      <c r="C16" t="s">
        <v>12</v>
      </c>
      <c r="D16" s="1">
        <v>3</v>
      </c>
    </row>
    <row r="17" spans="1:4" x14ac:dyDescent="0.3">
      <c r="A17" s="1">
        <v>16</v>
      </c>
      <c r="B17" t="s">
        <v>5</v>
      </c>
      <c r="C17" t="s">
        <v>11</v>
      </c>
      <c r="D17" s="1">
        <v>2</v>
      </c>
    </row>
    <row r="18" spans="1:4" x14ac:dyDescent="0.3">
      <c r="A18" s="1">
        <v>17</v>
      </c>
      <c r="B18" t="s">
        <v>6</v>
      </c>
      <c r="C18" t="s">
        <v>12</v>
      </c>
      <c r="D18" s="1">
        <v>2</v>
      </c>
    </row>
    <row r="19" spans="1:4" x14ac:dyDescent="0.3">
      <c r="A19" s="1">
        <v>18</v>
      </c>
      <c r="B19" t="s">
        <v>7</v>
      </c>
      <c r="C19" t="s">
        <v>12</v>
      </c>
      <c r="D19" s="1">
        <v>4</v>
      </c>
    </row>
    <row r="20" spans="1:4" x14ac:dyDescent="0.3">
      <c r="A20" s="1">
        <v>19</v>
      </c>
      <c r="B20" t="s">
        <v>8</v>
      </c>
      <c r="C20" t="s">
        <v>12</v>
      </c>
      <c r="D20" s="1">
        <v>2</v>
      </c>
    </row>
    <row r="21" spans="1:4" x14ac:dyDescent="0.3">
      <c r="A21" s="1">
        <v>20</v>
      </c>
      <c r="B21" t="s">
        <v>9</v>
      </c>
      <c r="C21" t="s">
        <v>11</v>
      </c>
      <c r="D21" s="1">
        <v>4</v>
      </c>
    </row>
    <row r="22" spans="1:4" x14ac:dyDescent="0.3">
      <c r="A22" s="1">
        <v>21</v>
      </c>
      <c r="B22" t="s">
        <v>10</v>
      </c>
      <c r="C22" t="s">
        <v>11</v>
      </c>
      <c r="D22" s="1">
        <v>3</v>
      </c>
    </row>
    <row r="23" spans="1:4" x14ac:dyDescent="0.3">
      <c r="D2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Gaines, Ava M</dc:creator>
  <cp:lastModifiedBy>Gaines, Ava M</cp:lastModifiedBy>
  <dcterms:created xsi:type="dcterms:W3CDTF">2026-04-12T19:28:45Z</dcterms:created>
  <dcterms:modified xsi:type="dcterms:W3CDTF">2026-04-19T18:41:14Z</dcterms:modified>
</cp:coreProperties>
</file>